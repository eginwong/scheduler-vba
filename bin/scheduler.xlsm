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C51C1F26-0E92-E749-8E05-062B4B9D6E06}" xr6:coauthVersionLast="43" xr6:coauthVersionMax="43" xr10:uidLastSave="{00000000-0000-0000-0000-000000000000}"/>
  <bookViews>
    <workbookView xWindow="0" yWindow="460" windowWidth="28800" windowHeight="17540" activeTab="4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OPENSOLVER_INSTRUCTIONS" sheetId="26" state="hidden" r:id="rId6"/>
    <sheet name="ENGINE" sheetId="1" state="hidden" r:id="rId7"/>
  </sheets>
  <functionGroups builtInGroupCount="19"/>
  <externalReferences>
    <externalReference r:id="rId8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6" hidden="1">CBC</definedName>
    <definedName name="OpenSolver_DualsNewSheet" localSheetId="6" hidden="1">0</definedName>
    <definedName name="OpenSolver_LinearityCheck" localSheetId="6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6" hidden="1">1</definedName>
    <definedName name="solver_itr" localSheetId="6" hidden="1">2147483647</definedName>
    <definedName name="solver_lhs1" localSheetId="6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6" hidden="1">ENGINE!$F$5:$G$7</definedName>
    <definedName name="solver_lhs2" localSheetId="3" hidden="1">USERS!$H$5:$H$7</definedName>
    <definedName name="solver_lhs3" localSheetId="6" hidden="1">ENGINE!$H$5:$H$7</definedName>
    <definedName name="solver_lhs4" localSheetId="6" hidden="1">ENGINE!#REF!</definedName>
    <definedName name="solver_lhs5" localSheetId="6" hidden="1">ENGINE!#REF!</definedName>
    <definedName name="solver_lhs6" localSheetId="6" hidden="1">ENGINE!#REF!</definedName>
    <definedName name="solver_lhs7" localSheetId="6" hidden="1">ENGINE!#REF!</definedName>
    <definedName name="solver_lhs8" localSheetId="6" hidden="1">ENGINE!#REF!</definedName>
    <definedName name="solver_lhs9" localSheetId="6" hidden="1">ENGINE!#REF!</definedName>
    <definedName name="solver_lin" localSheetId="6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6" hidden="1">2147483647</definedName>
    <definedName name="solver_num" localSheetId="6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6" hidden="1">1</definedName>
    <definedName name="solver_opt" localSheetId="6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UNAVAILABILITY!$D$10</definedName>
    <definedName name="solver_opt" localSheetId="3" hidden="1">USERS!$B$2</definedName>
    <definedName name="solver_pre" localSheetId="6" hidden="1">0.000001</definedName>
    <definedName name="solver_rbv" localSheetId="6" hidden="1">2</definedName>
    <definedName name="solver_rel1" localSheetId="6" hidden="1">2</definedName>
    <definedName name="solver_rel1" localSheetId="0" hidden="1">2</definedName>
    <definedName name="solver_rel1" localSheetId="3" hidden="1">2</definedName>
    <definedName name="solver_rel2" localSheetId="6" hidden="1">5</definedName>
    <definedName name="solver_rel2" localSheetId="3" hidden="1">1</definedName>
    <definedName name="solver_rel3" localSheetId="6" hidden="1">1</definedName>
    <definedName name="solver_rel4" localSheetId="6" hidden="1">3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el8" localSheetId="6" hidden="1">2</definedName>
    <definedName name="solver_rel9" localSheetId="6" hidden="1">1</definedName>
    <definedName name="solver_rhs1" localSheetId="6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6" hidden="1">binary</definedName>
    <definedName name="solver_rhs2" localSheetId="3" hidden="1">1</definedName>
    <definedName name="solver_rhs3" localSheetId="6" hidden="1">1</definedName>
    <definedName name="solver_rhs4" localSheetId="6" hidden="1">0</definedName>
    <definedName name="solver_rhs5" localSheetId="6" hidden="1">ENGINE!#REF!</definedName>
    <definedName name="solver_rhs6" localSheetId="6" hidden="1">ENGINE!#REF!</definedName>
    <definedName name="solver_rhs7" localSheetId="6" hidden="1">ENGINE!#REF!</definedName>
    <definedName name="solver_rhs8" localSheetId="6" hidden="1">ENGINE!#REF!</definedName>
    <definedName name="solver_rhs9" localSheetId="6" hidden="1">1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6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6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G10" i="1" l="1"/>
  <c r="F10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4" i="1"/>
  <c r="B1" i="24"/>
  <c r="B2" i="1" l="1"/>
  <c r="E7" i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<sst xmlns="http://schemas.openxmlformats.org/spreadsheetml/2006/main" count="70" uniqueCount="41">
  <si>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</si>
  <si>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</si>
  <si>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</si>
  <si>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</si>
  <si>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</si>
  <si>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</si>
  <si>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</si>
  <si>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</si>
  <si>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</si>
  <si>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</si>
  <si>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</si>
  <si>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</si>
  <si>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</si>
  <si>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</si>
  <si>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</si>
  <si>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</si>
  <si>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</si>
  <si>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</si>
  <si>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</si>
  <si>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</si>
  <si>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</si>
  <si>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Unavailability</t>
  </si>
  <si>
    <t xml:space="preserve"> </t>
  </si>
  <si>
    <t>Name</t>
  </si>
  <si>
    <t>v20190317</t>
  </si>
  <si>
    <t>OpenSolver Instructions</t>
  </si>
  <si>
    <t xml:space="preserve">Oh no! It seems like the scheduling problem you are trying to solve is quite challenging. </t>
  </si>
  <si>
    <t xml:space="preserve">In order to solve it within the limitations of Excel, you will have to download and install OpenSolver. </t>
  </si>
  <si>
    <t>It can handle a lot more decision variables and complex problems than the built-in Solver Add-in can, and it's free!</t>
  </si>
  <si>
    <t>Follow the installation instructions at the link below:</t>
  </si>
  <si>
    <t xml:space="preserve">https://opensolver.org/installing-opensolver/ </t>
  </si>
  <si>
    <t>Once that is finished, you have to add two more changes to your Excel installation for the program to work smoothly.</t>
  </si>
  <si>
    <t>If "OpenSolver" isn't there, click "Browse" and navigate to where you installed the "OpenSolver.xlam" to load the Add-In.</t>
  </si>
  <si>
    <t>Follow the instructions below to enable the "Developer" tab on the Excel ribbon if you don't have it already.</t>
  </si>
  <si>
    <t xml:space="preserve">https://www.techonthenet.com/excel/questions/developer_tab2013.php </t>
  </si>
  <si>
    <t>-</t>
  </si>
  <si>
    <t>Go to the "Developer" tab and select "Visual Basic"</t>
  </si>
  <si>
    <t>In the navigation menu, select "Tools" &gt; "References" &gt; "Browse" and add in the "OpenSolver.xlam" file.</t>
  </si>
  <si>
    <t>Make sure it is checked.</t>
  </si>
  <si>
    <t>You have now loaded OpenSolver and are good to go!</t>
  </si>
  <si>
    <t>In Excel's navigation menu, select "Tools" &gt; "Excel Add-ins…"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</si>
</sst>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18" fillId="0" borderId="0" xfId="0" applyFont="1"/>
    <xf numFmtId="0" fontId="22" fillId="0" borderId="0" xfId="0" applyFont="1"/>
    <xf numFmtId="0" fontId="24" fillId="0" borderId="0" xfId="1" applyFont="1"/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echonthenet.com/excel/questions/developer_tab2013.php" TargetMode="External"/><Relationship Id="rId1" Type="http://schemas.openxmlformats.org/officeDocument/2006/relationships/hyperlink" Target="https://opensolver.org/installing-opensolver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C2" sqref="C2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  <c r="C1" t="s">
        <v>24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1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C13" sqref="C1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40" t="s">
        <v>12</v>
      </c>
      <c r="B1" s="40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zoomScale="150" zoomScaleNormal="150" workbookViewId="0">
      <pane ySplit="6" topLeftCell="A7" activePane="bottomLeft" state="frozen"/>
      <selection pane="bottomLeft" activeCell="B10" sqref="B10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tabSelected="1" zoomScale="180" workbookViewId="0">
      <selection activeCell="D10" sqref="D10"/>
    </sheetView>
  </sheetViews>
  <sheetFormatPr baseColWidth="10" defaultRowHeight="15"/>
  <cols>
    <col min="1" max="1" width="19.83203125" customWidth="1"/>
  </cols>
  <sheetData>
    <row r="1" spans="1:8" ht="31">
      <c r="A1" s="22" t="s">
        <v>21</v>
      </c>
    </row>
    <row r="3" spans="1:8" ht="58" customHeight="1">
      <c r="H3" t="s">
        <v>22</v>
      </c>
    </row>
    <row r="4" spans="1:8" ht="21">
      <c r="A4" s="35" t="s">
        <v>23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4F129-FAA6-6547-A786-57C51767AD24}">
  <sheetPr codeName="Sheet6">
    <tabColor rgb="FFFF0000"/>
  </sheetPr>
  <dimension ref="A1:C17"/>
  <sheetViews>
    <sheetView workbookViewId="0">
      <selection activeCell="B11" sqref="B11"/>
    </sheetView>
  </sheetViews>
  <sheetFormatPr baseColWidth="10" defaultRowHeight="24"/>
  <cols>
    <col min="1" max="16384" width="10.83203125" style="37"/>
  </cols>
  <sheetData>
    <row r="1" spans="1:3" customFormat="1" ht="34">
      <c r="A1" s="38" t="s">
        <v>25</v>
      </c>
    </row>
    <row r="3" spans="1:3">
      <c r="A3" s="37" t="s">
        <v>26</v>
      </c>
    </row>
    <row r="4" spans="1:3">
      <c r="A4" s="37" t="s">
        <v>27</v>
      </c>
    </row>
    <row r="5" spans="1:3">
      <c r="A5" s="37" t="s">
        <v>28</v>
      </c>
    </row>
    <row r="6" spans="1:3">
      <c r="A6" s="37" t="s">
        <v>29</v>
      </c>
    </row>
    <row r="7" spans="1:3">
      <c r="A7" s="39" t="s">
        <v>30</v>
      </c>
    </row>
    <row r="9" spans="1:3">
      <c r="A9" s="37" t="s">
        <v>31</v>
      </c>
    </row>
    <row r="10" spans="1:3">
      <c r="A10" s="37">
        <v>1</v>
      </c>
      <c r="B10" s="37" t="s">
        <v>40</v>
      </c>
    </row>
    <row r="11" spans="1:3">
      <c r="B11" s="37" t="s">
        <v>32</v>
      </c>
    </row>
    <row r="12" spans="1:3">
      <c r="A12" s="37">
        <v>2</v>
      </c>
      <c r="B12" s="37" t="s">
        <v>33</v>
      </c>
    </row>
    <row r="13" spans="1:3">
      <c r="B13" s="41" t="s">
        <v>35</v>
      </c>
      <c r="C13" s="39" t="s">
        <v>34</v>
      </c>
    </row>
    <row r="14" spans="1:3">
      <c r="B14" s="37" t="s">
        <v>36</v>
      </c>
    </row>
    <row r="15" spans="1:3">
      <c r="B15" s="37" t="s">
        <v>37</v>
      </c>
    </row>
    <row r="16" spans="1:3">
      <c r="B16" s="37" t="s">
        <v>38</v>
      </c>
    </row>
    <row r="17" spans="2:2">
      <c r="B17" s="37" t="s">
        <v>39</v>
      </c>
    </row>
  </sheetData>
  <hyperlinks>
    <hyperlink ref="A7" r:id="rId1" xr:uid="{B76D77CF-690A-B84C-8706-6C8F711AAF20}"/>
    <hyperlink ref="C13" r:id="rId2" xr:uid="{E4D8443C-D019-7F4A-9F8C-BFB85567266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B2" sqref="B2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14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7</v>
      </c>
      <c r="C7" s="8">
        <f>IF(AND(README!$G11=TRUE,CAPABILITIES!D9= 1), README!$J$8-USERS!C4, -100000000)</f>
        <v>14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README</vt:lpstr>
      <vt:lpstr>SCHEDULE</vt:lpstr>
      <vt:lpstr>CAPABILITIES</vt:lpstr>
      <vt:lpstr>USERS</vt:lpstr>
      <vt:lpstr>UNAVAILABILITY</vt:lpstr>
      <vt:lpstr>OPENSOLVER_INSTRUCTIONS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2019-03-18T21:24:29Z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