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ginwong/dev/scheduler/bin/"/>
    </mc:Choice>
  </mc:AlternateContent>
  <xr:revisionPtr revIDLastSave="0" documentId="13_ncr:1_{14CA5020-B13E-2745-B1EF-DE14D396DBD4}" xr6:coauthVersionLast="43" xr6:coauthVersionMax="43" xr10:uidLastSave="{00000000-0000-0000-0000-000000000000}"/>
  <bookViews>
    <workbookView xWindow="0" yWindow="460" windowWidth="28800" windowHeight="17540" activeTab="2" xr2:uid="{2A58A1EA-DFFA-40CB-89ED-6AD5AE63E177}"/>
  </bookViews>
  <sheets>
    <sheet name="README" sheetId="2" r:id="rId1"/>
    <sheet name="SCHEDULE" sheetId="5" r:id="rId2"/>
    <sheet name="CAPABILITIES" sheetId="8" r:id="rId3"/>
    <sheet name="USERS" sheetId="24" r:id="rId4"/>
    <sheet name="UNAVAILABILITY" sheetId="25" r:id="rId5"/>
    <sheet name="ENGINE" sheetId="1" state="hidden" r:id="rId6"/>
  </sheets>
  <functionGroups builtInGroupCount="19"/>
  <externalReferences>
    <externalReference r:id="rId7"/>
  </externalReferences>
  <definedNames>
    <definedName name="ACTUAL">ENGINE!$E$10</definedName>
    <definedName name="EXPECTED">ENGINE!$E$9</definedName>
    <definedName name="FREQUENCY">README!$M$8</definedName>
    <definedName name="NEXT_DATE">README!$J$8</definedName>
    <definedName name="OBJECTIVE">ENGINE!$B$2</definedName>
    <definedName name="OpenSolver_ChosenSolver" localSheetId="5" hidden="1">CBC</definedName>
    <definedName name="OpenSolver_DualsNewSheet" localSheetId="5" hidden="1">0</definedName>
    <definedName name="OpenSolver_LinearityCheck" localSheetId="5" hidden="1">1</definedName>
    <definedName name="ROLE_TOTALS">ENGINE!$H$4</definedName>
    <definedName name="SCHEDULE_DATE">README!$J$8</definedName>
    <definedName name="solver_adj" localSheetId="0" hidden="1">README!$F$5:$G$7</definedName>
    <definedName name="solver_adj" localSheetId="3" hidden="1">USERS!$F$5:$G$7</definedName>
    <definedName name="solver_cvg" localSheetId="5" hidden="1">0.0001</definedName>
    <definedName name="solver_drv" localSheetId="5" hidden="1">2</definedName>
    <definedName name="solver_eng" localSheetId="5" hidden="1">1</definedName>
    <definedName name="solver_eng" localSheetId="0" hidden="1">2</definedName>
    <definedName name="solver_eng" localSheetId="1" hidden="1">1</definedName>
    <definedName name="solver_eng" localSheetId="4" hidden="1">1</definedName>
    <definedName name="solver_eng" localSheetId="3" hidden="1">2</definedName>
    <definedName name="solver_est" localSheetId="5" hidden="1">1</definedName>
    <definedName name="solver_itr" localSheetId="5" hidden="1">2147483647</definedName>
    <definedName name="solver_lhs1" localSheetId="5" hidden="1">ENGINE!$F$9:$G$9</definedName>
    <definedName name="solver_lhs1" localSheetId="0" hidden="1">README!$F$9:$G$9</definedName>
    <definedName name="solver_lhs1" localSheetId="3" hidden="1">USERS!$F$9:$G$9</definedName>
    <definedName name="solver_lhs2" localSheetId="5" hidden="1">ENGINE!$F$5:$G$7</definedName>
    <definedName name="solver_lhs2" localSheetId="3" hidden="1">USERS!$H$5:$H$7</definedName>
    <definedName name="solver_lhs3" localSheetId="5" hidden="1">ENGINE!$H$5:$H$7</definedName>
    <definedName name="solver_lhs4" localSheetId="5" hidden="1">ENGINE!#REF!</definedName>
    <definedName name="solver_lhs5" localSheetId="5" hidden="1">ENGINE!#REF!</definedName>
    <definedName name="solver_lhs6" localSheetId="5" hidden="1">ENGINE!#REF!</definedName>
    <definedName name="solver_lhs7" localSheetId="5" hidden="1">ENGINE!#REF!</definedName>
    <definedName name="solver_lhs8" localSheetId="5" hidden="1">ENGINE!#REF!</definedName>
    <definedName name="solver_lhs9" localSheetId="5" hidden="1">ENGINE!#REF!</definedName>
    <definedName name="solver_lin" localSheetId="5" hidden="1">2</definedName>
    <definedName name="solver_lin" localSheetId="0" hidden="1">2</definedName>
    <definedName name="solver_lin" localSheetId="1" hidden="1">2</definedName>
    <definedName name="solver_lin" localSheetId="4" hidden="1">2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eg" localSheetId="0" hidden="1">1</definedName>
    <definedName name="solver_neg" localSheetId="1" hidden="1">1</definedName>
    <definedName name="solver_neg" localSheetId="4" hidden="1">1</definedName>
    <definedName name="solver_neg" localSheetId="3" hidden="1">1</definedName>
    <definedName name="solver_nod" localSheetId="5" hidden="1">2147483647</definedName>
    <definedName name="solver_num" localSheetId="5" hidden="1">0</definedName>
    <definedName name="solver_num" localSheetId="0" hidden="1">1</definedName>
    <definedName name="solver_num" localSheetId="1" hidden="1">0</definedName>
    <definedName name="solver_num" localSheetId="4" hidden="1">0</definedName>
    <definedName name="solver_num" localSheetId="3" hidden="1">2</definedName>
    <definedName name="solver_nwt" localSheetId="5" hidden="1">1</definedName>
    <definedName name="solver_opt" localSheetId="5" hidden="1">ENGINE!$B$2</definedName>
    <definedName name="solver_opt" localSheetId="0" hidden="1">README!$B$2</definedName>
    <definedName name="solver_opt" localSheetId="1" hidden="1">SCHEDULE!#REF!</definedName>
    <definedName name="solver_opt" localSheetId="4" hidden="1">UNAVAILABILITY!$D$10</definedName>
    <definedName name="solver_opt" localSheetId="3" hidden="1">USERS!$B$2</definedName>
    <definedName name="solver_pre" localSheetId="5" hidden="1">0.000001</definedName>
    <definedName name="solver_rbv" localSheetId="5" hidden="1">2</definedName>
    <definedName name="solver_rel1" localSheetId="5" hidden="1">2</definedName>
    <definedName name="solver_rel1" localSheetId="0" hidden="1">2</definedName>
    <definedName name="solver_rel1" localSheetId="3" hidden="1">2</definedName>
    <definedName name="solver_rel2" localSheetId="5" hidden="1">5</definedName>
    <definedName name="solver_rel2" localSheetId="3" hidden="1">1</definedName>
    <definedName name="solver_rel3" localSheetId="5" hidden="1">1</definedName>
    <definedName name="solver_rel4" localSheetId="5" hidden="1">3</definedName>
    <definedName name="solver_rel5" localSheetId="5" hidden="1">2</definedName>
    <definedName name="solver_rel6" localSheetId="5" hidden="1">2</definedName>
    <definedName name="solver_rel7" localSheetId="5" hidden="1">2</definedName>
    <definedName name="solver_rel8" localSheetId="5" hidden="1">2</definedName>
    <definedName name="solver_rel9" localSheetId="5" hidden="1">1</definedName>
    <definedName name="solver_rhs1" localSheetId="5" hidden="1">ENGINE!$F$10:$G$10</definedName>
    <definedName name="solver_rhs1" localSheetId="0" hidden="1">README!F10:G10</definedName>
    <definedName name="solver_rhs1" localSheetId="3" hidden="1">USERS!F10:G10</definedName>
    <definedName name="solver_rhs2" localSheetId="5" hidden="1">binary</definedName>
    <definedName name="solver_rhs2" localSheetId="3" hidden="1">1</definedName>
    <definedName name="solver_rhs3" localSheetId="5" hidden="1">1</definedName>
    <definedName name="solver_rhs4" localSheetId="5" hidden="1">0</definedName>
    <definedName name="solver_rhs5" localSheetId="5" hidden="1">ENGINE!#REF!</definedName>
    <definedName name="solver_rhs6" localSheetId="5" hidden="1">ENGINE!#REF!</definedName>
    <definedName name="solver_rhs7" localSheetId="5" hidden="1">ENGINE!#REF!</definedName>
    <definedName name="solver_rhs8" localSheetId="5" hidden="1">ENGINE!#REF!</definedName>
    <definedName name="solver_rhs9" localSheetId="5" hidden="1">1</definedName>
    <definedName name="solver_rlx" localSheetId="5" hidden="1">2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1</definedName>
    <definedName name="solver_typ" localSheetId="0" hidden="1">1</definedName>
    <definedName name="solver_typ" localSheetId="1" hidden="1">1</definedName>
    <definedName name="solver_typ" localSheetId="4" hidden="1">1</definedName>
    <definedName name="solver_typ" localSheetId="3" hidden="1">1</definedName>
    <definedName name="solver_val" localSheetId="5" hidden="1">0</definedName>
    <definedName name="solver_val" localSheetId="0" hidden="1">0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er" localSheetId="5" hidden="1">2</definedName>
    <definedName name="solver_ver" localSheetId="0" hidden="1">3</definedName>
    <definedName name="solver_ver" localSheetId="1" hidden="1">2</definedName>
    <definedName name="solver_ver" localSheetId="4" hidden="1">2</definedName>
    <definedName name="solver_ver" localSheetId="3" hidden="1">3</definedName>
    <definedName name="USER_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1" l="1"/>
  <c r="H6" i="1"/>
  <c r="H5" i="1"/>
  <c r="G10" i="1" l="1"/>
  <c r="F10" i="1"/>
  <c r="E5" i="1" l="1"/>
  <c r="C5" i="1"/>
  <c r="B5" i="1"/>
  <c r="A5" i="1"/>
  <c r="A2" i="24"/>
  <c r="B7" i="8"/>
  <c r="E6" i="1"/>
  <c r="C6" i="1"/>
  <c r="B6" i="1"/>
  <c r="A6" i="1"/>
  <c r="A3" i="24"/>
  <c r="B8" i="8"/>
  <c r="G9" i="1" l="1"/>
  <c r="G4" i="1"/>
  <c r="C7" i="1"/>
  <c r="C4" i="1"/>
  <c r="C1" i="24"/>
  <c r="F9" i="1"/>
  <c r="F4" i="1"/>
  <c r="B7" i="1"/>
  <c r="B4" i="1"/>
  <c r="B1" i="24"/>
  <c r="B2" i="1" l="1"/>
  <c r="E7" i="1"/>
  <c r="A7" i="1"/>
  <c r="A4" i="24"/>
  <c r="B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3785DBD2-A21C-F342-8E98-9355BA7BF1D5}">
      <text>
        <r>
          <rPr>
            <sz val="10"/>
            <color rgb="FF000000"/>
            <rFont val="Tahoma"/>
            <family val="2"/>
          </rPr>
          <t xml:space="preserve">Step #1: Add users.
</t>
        </r>
        <r>
          <rPr>
            <sz val="10"/>
            <color rgb="FF000000"/>
            <rFont val="Tahoma"/>
            <family val="2"/>
          </rPr>
          <t xml:space="preserve">Step #2: Go to the "CAPABILITIES" tab and follow instructions.
</t>
        </r>
        <r>
          <rPr>
            <sz val="10"/>
            <color rgb="FF000000"/>
            <rFont val="Tahoma"/>
            <family val="2"/>
          </rPr>
          <t xml:space="preserve">Step #3: Set each user's upcoming availability.
</t>
        </r>
        <r>
          <rPr>
            <sz val="10"/>
            <color rgb="FF000000"/>
            <rFont val="Tahoma"/>
            <family val="2"/>
          </rPr>
          <t>Step #4: Set the date for the next required schedule.</t>
        </r>
      </text>
    </comment>
    <comment ref="A17" authorId="0" shapeId="0" xr:uid="{8E3377AF-3E42-3F4D-84AE-B6246B002CBE}">
      <text>
        <r>
          <rPr>
            <b/>
            <sz val="10"/>
            <color rgb="FF000000"/>
            <rFont val="Tahoma"/>
            <family val="2"/>
          </rPr>
          <t>Extra</t>
        </r>
        <r>
          <rPr>
            <sz val="10"/>
            <color rgb="FF000000"/>
            <rFont val="Tahoma"/>
            <family val="2"/>
          </rPr>
          <t xml:space="preserve">: If you know the availabilities of users ahead of time, you can make use of the unavailability tab.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57F5DFD8-5598-094D-9D25-25B710C4DA71}">
      <text>
        <r>
          <rPr>
            <sz val="14"/>
            <color rgb="FF000000"/>
            <rFont val="Tahoma"/>
            <family val="34"/>
          </rPr>
          <t>Step #2: Add roles and set 1 for the user if they should be scheduled to that role or 0 if they should not.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430DDB47-9334-F041-9BA2-35A26FE6D5EE}">
      <text>
        <r>
          <rPr>
            <sz val="14"/>
            <color rgb="FF000000"/>
            <rFont val="Tahoma"/>
            <family val="34"/>
          </rPr>
          <t>Extra: add a new record for each proposed unavailability date here.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549EF391-2D92-3C45-A2D1-970EB1DDFB03}">
      <text>
        <r>
          <rPr>
            <b/>
            <sz val="10"/>
            <color rgb="FF000000"/>
            <rFont val="Tahoma"/>
            <family val="2"/>
          </rPr>
          <t>Eric T. Wong: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Priority Function</t>
        </r>
      </text>
    </comment>
  </commentList>
</comments>
</file>

<file path=xl/sharedStrings.xml><?xml version="1.0" encoding="utf-8"?>
<sst xmlns="http://schemas.openxmlformats.org/spreadsheetml/2006/main" count="54" uniqueCount="25">
  <si>
    <t>Role per person</t>
  </si>
  <si>
    <t>Instructions</t>
  </si>
  <si>
    <t>Date</t>
  </si>
  <si>
    <t>Capabilities</t>
  </si>
  <si>
    <t>Availability</t>
  </si>
  <si>
    <t>Expected #</t>
  </si>
  <si>
    <t>Actual #</t>
  </si>
  <si>
    <t>Users</t>
  </si>
  <si>
    <t>Roles</t>
  </si>
  <si>
    <t>Expected</t>
  </si>
  <si>
    <t>Prerequisites</t>
  </si>
  <si>
    <t>Check the box under Excel &gt; Preferences &gt; Security &gt; Developer Macro Settings &gt; Trust Access to the VBA project object model</t>
  </si>
  <si>
    <t>Schedule</t>
  </si>
  <si>
    <t>Scheduler</t>
  </si>
  <si>
    <t>Frequency</t>
  </si>
  <si>
    <t>WEEK</t>
  </si>
  <si>
    <t>Job #1</t>
  </si>
  <si>
    <t>Job #2</t>
  </si>
  <si>
    <t>Template User #1</t>
  </si>
  <si>
    <t>Template User #3</t>
  </si>
  <si>
    <t>Template User #2</t>
  </si>
  <si>
    <t>v20190314</t>
  </si>
  <si>
    <t>Unavailability</t>
  </si>
  <si>
    <t xml:space="preserve"> 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</si>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</sst>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20"/>
      <color theme="1"/>
      <name val="Segoe UI Light"/>
      <family val="2"/>
    </font>
    <font>
      <sz val="22"/>
      <color theme="1"/>
      <name val="Calibri"/>
      <family val="2"/>
      <scheme val="minor"/>
    </font>
    <font>
      <sz val="12"/>
      <color theme="1"/>
      <name val="Segoe UI Light"/>
      <family val="2"/>
    </font>
    <font>
      <sz val="11"/>
      <color theme="1"/>
      <name val="Segoe UI Light"/>
      <family val="2"/>
    </font>
    <font>
      <sz val="10"/>
      <color theme="1"/>
      <name val="Segoe UI Light"/>
      <family val="2"/>
    </font>
    <font>
      <sz val="20"/>
      <color theme="1"/>
      <name val="Calibri"/>
      <family val="2"/>
      <scheme val="minor"/>
    </font>
    <font>
      <sz val="24"/>
      <color theme="1"/>
      <name val="Segoe U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24"/>
      <color theme="1"/>
      <name val="Segoe UI Light"/>
      <family val="2"/>
    </font>
    <font>
      <sz val="18"/>
      <color theme="1"/>
      <name val="Segoe UI Light"/>
      <family val="2"/>
    </font>
    <font>
      <sz val="14"/>
      <color theme="1"/>
      <name val="Segoe UI Ligh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sz val="14"/>
      <color rgb="FF000000"/>
      <name val="Tahoma"/>
      <family val="34"/>
    </font>
    <font>
      <sz val="18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6"/>
      <color theme="1"/>
      <name val="Calibri"/>
      <family val="2"/>
      <scheme val="minor"/>
    </font>
    <font>
      <sz val="12"/>
      <color rgb="FF6796E6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medium">
        <color rgb="FF00B0F0"/>
      </right>
      <top/>
      <bottom style="medium">
        <color rgb="FF00B0F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/>
    </xf>
    <xf numFmtId="0" fontId="0" fillId="3" borderId="0" xfId="0" applyFill="1" applyBorder="1"/>
    <xf numFmtId="0" fontId="2" fillId="0" borderId="0" xfId="0" applyFont="1"/>
    <xf numFmtId="15" fontId="0" fillId="0" borderId="0" xfId="0" applyNumberFormat="1"/>
    <xf numFmtId="14" fontId="3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0" fillId="0" borderId="0" xfId="0" applyBorder="1"/>
    <xf numFmtId="0" fontId="0" fillId="0" borderId="0" xfId="0" applyNumberFormat="1"/>
    <xf numFmtId="0" fontId="1" fillId="0" borderId="0" xfId="0" applyFont="1" applyBorder="1" applyAlignment="1">
      <alignment horizontal="center"/>
    </xf>
    <xf numFmtId="0" fontId="6" fillId="0" borderId="0" xfId="0" applyFont="1"/>
    <xf numFmtId="0" fontId="6" fillId="2" borderId="1" xfId="0" applyFont="1" applyFill="1" applyBorder="1"/>
    <xf numFmtId="14" fontId="0" fillId="0" borderId="0" xfId="0" applyNumberFormat="1"/>
    <xf numFmtId="0" fontId="8" fillId="0" borderId="0" xfId="0" applyFont="1"/>
    <xf numFmtId="0" fontId="1" fillId="0" borderId="0" xfId="0" applyFont="1" applyAlignment="1">
      <alignment horizontal="center"/>
    </xf>
    <xf numFmtId="0" fontId="0" fillId="0" borderId="2" xfId="0" applyBorder="1"/>
    <xf numFmtId="0" fontId="5" fillId="0" borderId="3" xfId="0" applyFont="1" applyBorder="1" applyAlignment="1">
      <alignment horizontal="center"/>
    </xf>
    <xf numFmtId="0" fontId="5" fillId="4" borderId="0" xfId="0" applyNumberFormat="1" applyFont="1" applyFill="1" applyAlignment="1">
      <alignment horizontal="center"/>
    </xf>
    <xf numFmtId="14" fontId="5" fillId="4" borderId="4" xfId="0" applyNumberFormat="1" applyFont="1" applyFill="1" applyBorder="1" applyAlignment="1">
      <alignment horizontal="center"/>
    </xf>
    <xf numFmtId="0" fontId="11" fillId="0" borderId="0" xfId="0" applyFont="1"/>
    <xf numFmtId="0" fontId="4" fillId="0" borderId="0" xfId="0" applyFont="1"/>
    <xf numFmtId="0" fontId="12" fillId="0" borderId="0" xfId="0" applyFont="1"/>
    <xf numFmtId="0" fontId="12" fillId="0" borderId="0" xfId="0" applyFont="1" applyBorder="1" applyAlignment="1">
      <alignment wrapText="1"/>
    </xf>
    <xf numFmtId="0" fontId="12" fillId="0" borderId="0" xfId="0" applyFont="1" applyBorder="1"/>
    <xf numFmtId="0" fontId="4" fillId="4" borderId="0" xfId="0" applyFont="1" applyFill="1"/>
    <xf numFmtId="0" fontId="12" fillId="0" borderId="0" xfId="0" applyFont="1" applyFill="1" applyBorder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 applyBorder="1"/>
    <xf numFmtId="14" fontId="18" fillId="4" borderId="1" xfId="0" applyNumberFormat="1" applyFont="1" applyFill="1" applyBorder="1"/>
    <xf numFmtId="0" fontId="4" fillId="4" borderId="5" xfId="0" applyFont="1" applyFill="1" applyBorder="1" applyAlignment="1">
      <alignment horizontal="center"/>
    </xf>
    <xf numFmtId="0" fontId="20" fillId="0" borderId="0" xfId="0" applyFont="1"/>
    <xf numFmtId="0" fontId="21" fillId="0" borderId="0" xfId="0" applyFont="1"/>
    <xf numFmtId="0" fontId="7" fillId="0" borderId="0" xfId="0" applyFont="1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2</xdr:row>
          <xdr:rowOff>177800</xdr:rowOff>
        </xdr:from>
        <xdr:to>
          <xdr:col>6</xdr:col>
          <xdr:colOff>215900</xdr:colOff>
          <xdr:row>4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6</xdr:col>
          <xdr:colOff>215900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177800</xdr:rowOff>
        </xdr:from>
        <xdr:to>
          <xdr:col>10</xdr:col>
          <xdr:colOff>12700</xdr:colOff>
          <xdr:row>4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0</xdr:row>
          <xdr:rowOff>114300</xdr:rowOff>
        </xdr:from>
        <xdr:to>
          <xdr:col>3</xdr:col>
          <xdr:colOff>901700</xdr:colOff>
          <xdr:row>0</xdr:row>
          <xdr:rowOff>393700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393700</xdr:rowOff>
        </xdr:from>
        <xdr:to>
          <xdr:col>1</xdr:col>
          <xdr:colOff>914400</xdr:colOff>
          <xdr:row>2</xdr:row>
          <xdr:rowOff>279400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1054100</xdr:colOff>
          <xdr:row>2</xdr:row>
          <xdr:rowOff>0</xdr:rowOff>
        </xdr:from>
        <xdr:to>
          <xdr:col>1</xdr:col>
          <xdr:colOff>1968500</xdr:colOff>
          <xdr:row>2</xdr:row>
          <xdr:rowOff>279400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Role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2</xdr:row>
          <xdr:rowOff>177800</xdr:rowOff>
        </xdr:from>
        <xdr:to>
          <xdr:col>3</xdr:col>
          <xdr:colOff>673100</xdr:colOff>
          <xdr:row>2</xdr:row>
          <xdr:rowOff>558800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Purge old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165100</xdr:rowOff>
        </xdr:from>
        <xdr:to>
          <xdr:col>1</xdr:col>
          <xdr:colOff>12700</xdr:colOff>
          <xdr:row>2</xdr:row>
          <xdr:rowOff>546100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unavailability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inwong/Google%20Drive/holy-family/schedule/altar-servers-scheduler-PROD-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SCHEDULE"/>
      <sheetName val="CAPABILITIES"/>
      <sheetName val="UNAVAILABILITY"/>
      <sheetName val="USERS"/>
      <sheetName val="ENGINE"/>
      <sheetName val="altar-servers-scheduler-PROD-b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T. Wong" id="{59A68F65-238F-6542-93EC-E81B76AF143D}" userId="S::eric.t.wong@avanade.com::7cc835a9-05da-4b5d-842b-0ff2a6529cb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31F8-36C6-4E3C-842B-13BED797AA51}">
  <sheetPr codeName="Sheet1"/>
  <dimension ref="A1:M17"/>
  <sheetViews>
    <sheetView zoomScale="150" workbookViewId="0">
      <selection activeCell="J11" sqref="J11"/>
    </sheetView>
  </sheetViews>
  <sheetFormatPr baseColWidth="10" defaultColWidth="8.83203125" defaultRowHeight="15"/>
  <cols>
    <col min="1" max="1" width="11.5" customWidth="1"/>
    <col min="3" max="3" width="10.33203125" bestFit="1" customWidth="1"/>
    <col min="4" max="5" width="8.83203125" customWidth="1"/>
    <col min="6" max="6" width="16.5" bestFit="1" customWidth="1"/>
    <col min="7" max="7" width="10.1640625" bestFit="1" customWidth="1"/>
    <col min="10" max="10" width="10.1640625" bestFit="1" customWidth="1"/>
  </cols>
  <sheetData>
    <row r="1" spans="1:13" ht="26">
      <c r="A1" s="13" t="s">
        <v>13</v>
      </c>
      <c r="C1" t="s">
        <v>21</v>
      </c>
    </row>
    <row r="2" spans="1:13">
      <c r="A2" s="31" t="s">
        <v>10</v>
      </c>
      <c r="B2" t="s">
        <v>11</v>
      </c>
    </row>
    <row r="3" spans="1:13">
      <c r="A3" s="31" t="s">
        <v>1</v>
      </c>
    </row>
    <row r="4" spans="1:13"/>
    <row r="7" spans="1:13" ht="16" thickBot="1">
      <c r="J7" s="18"/>
      <c r="M7" s="18"/>
    </row>
    <row r="8" spans="1:13" ht="17" thickBot="1">
      <c r="F8" s="32"/>
      <c r="G8" s="5" t="s">
        <v>4</v>
      </c>
      <c r="I8" s="19" t="s">
        <v>2</v>
      </c>
      <c r="J8" s="21">
        <v>43569</v>
      </c>
      <c r="L8" s="19" t="s">
        <v>14</v>
      </c>
      <c r="M8" s="34" t="s">
        <v>15</v>
      </c>
    </row>
    <row r="9" spans="1:13">
      <c r="F9" s="2" t="s">
        <v>19</v>
      </c>
      <c r="G9" s="20" t="b">
        <v>1</v>
      </c>
    </row>
    <row r="10" spans="1:13">
      <c r="F10" s="2" t="s">
        <v>20</v>
      </c>
      <c r="G10" s="20" t="b">
        <v>1</v>
      </c>
    </row>
    <row r="11" spans="1:13">
      <c r="F11" s="2" t="s">
        <v>18</v>
      </c>
      <c r="G11" s="20" t="b">
        <v>1</v>
      </c>
    </row>
    <row r="17" spans="1:1">
      <c r="A17" s="16"/>
    </row>
  </sheetData>
  <dataValidations count="2">
    <dataValidation type="list" allowBlank="1" showInputMessage="1" showErrorMessage="1" sqref="M8" xr:uid="{C8879AD5-9FAC-42D2-BB35-57B74E736562}">
      <formula1>"DAY,WEEK, MONTH, QUARTER, YEAR"</formula1>
    </dataValidation>
    <dataValidation type="list" allowBlank="1" showInputMessage="1" showErrorMessage="1" sqref="G9:G11" xr:uid="{ABC8A351-48C4-ED4F-AA9A-74965D34A2D5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USER">
                <anchor moveWithCells="1" sizeWithCells="1">
                  <from>
                    <xdr:col>5</xdr:col>
                    <xdr:colOff>228600</xdr:colOff>
                    <xdr:row>2</xdr:row>
                    <xdr:rowOff>177800</xdr:rowOff>
                  </from>
                  <to>
                    <xdr:col>6</xdr:col>
                    <xdr:colOff>215900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USER">
                <anchor moveWithCells="1" sizeWithCells="1">
                  <from>
                    <xdr:col>5</xdr:col>
                    <xdr:colOff>228600</xdr:colOff>
                    <xdr:row>4</xdr:row>
                    <xdr:rowOff>152400</xdr:rowOff>
                  </from>
                  <to>
                    <xdr:col>6</xdr:col>
                    <xdr:colOff>215900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_SCHEDULE">
                <anchor moveWithCells="1" sizeWithCells="1">
                  <from>
                    <xdr:col>8</xdr:col>
                    <xdr:colOff>0</xdr:colOff>
                    <xdr:row>2</xdr:row>
                    <xdr:rowOff>177800</xdr:rowOff>
                  </from>
                  <to>
                    <xdr:col>10</xdr:col>
                    <xdr:colOff>12700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56B-8508-4665-A0BE-B2B6DA24049F}">
  <sheetPr codeName="Sheet2"/>
  <dimension ref="A1:C74"/>
  <sheetViews>
    <sheetView zoomScale="150" workbookViewId="0">
      <selection activeCell="C13" sqref="C13"/>
    </sheetView>
  </sheetViews>
  <sheetFormatPr baseColWidth="10" defaultColWidth="8.83203125" defaultRowHeight="15"/>
  <cols>
    <col min="1" max="1" width="10.5" bestFit="1" customWidth="1"/>
    <col min="2" max="2" width="19.5" bestFit="1" customWidth="1"/>
    <col min="3" max="3" width="12.33203125" bestFit="1" customWidth="1"/>
    <col min="4" max="4" width="14.1640625" bestFit="1" customWidth="1"/>
    <col min="5" max="5" width="12.1640625" bestFit="1" customWidth="1"/>
  </cols>
  <sheetData>
    <row r="1" spans="1:3" ht="35">
      <c r="A1" s="37" t="s">
        <v>12</v>
      </c>
      <c r="B1" s="37"/>
    </row>
    <row r="2" spans="1:3">
      <c r="A2" s="15"/>
    </row>
    <row r="3" spans="1:3">
      <c r="A3" s="15"/>
      <c r="B3" t="s">
        <v>16</v>
      </c>
      <c r="C3" t="s">
        <v>17</v>
      </c>
    </row>
    <row r="4" spans="1:3">
      <c r="A4" s="15">
        <v>43562</v>
      </c>
      <c r="B4" t="s">
        <v>18</v>
      </c>
      <c r="C4" t="s">
        <v>20</v>
      </c>
    </row>
    <row r="5" spans="1:3">
      <c r="A5" s="15"/>
    </row>
    <row r="6" spans="1:3">
      <c r="A6" s="15"/>
      <c r="B6" t="s">
        <v>16</v>
      </c>
      <c r="C6" t="s">
        <v>17</v>
      </c>
    </row>
    <row r="7" spans="1:3">
      <c r="A7" s="15">
        <v>43555</v>
      </c>
      <c r="B7" t="s">
        <v>19</v>
      </c>
      <c r="C7" t="s">
        <v>18</v>
      </c>
    </row>
    <row r="8" spans="1:3">
      <c r="A8" s="15"/>
    </row>
    <row r="9" spans="1:3">
      <c r="A9" s="15"/>
      <c r="B9" t="s">
        <v>16</v>
      </c>
      <c r="C9" t="s">
        <v>17</v>
      </c>
    </row>
    <row r="10" spans="1:3">
      <c r="A10" s="15">
        <v>43548</v>
      </c>
      <c r="B10" t="s">
        <v>18</v>
      </c>
      <c r="C10" t="s">
        <v>20</v>
      </c>
    </row>
    <row r="11" spans="1:3">
      <c r="A11" s="15"/>
    </row>
    <row r="12" spans="1:3">
      <c r="A12" s="15"/>
      <c r="B12" t="s">
        <v>16</v>
      </c>
      <c r="C12" t="s">
        <v>17</v>
      </c>
    </row>
    <row r="13" spans="1:3">
      <c r="A13" s="15">
        <v>43541</v>
      </c>
      <c r="B13" t="s">
        <v>19</v>
      </c>
      <c r="C13" t="s">
        <v>18</v>
      </c>
    </row>
    <row r="14" spans="1:3">
      <c r="A14" s="15"/>
    </row>
    <row r="15" spans="1:3">
      <c r="A15" s="15"/>
      <c r="B15" t="s">
        <v>16</v>
      </c>
      <c r="C15" t="s">
        <v>17</v>
      </c>
    </row>
    <row r="16" spans="1:3">
      <c r="A16" s="15">
        <v>43534</v>
      </c>
      <c r="B16" t="s">
        <v>18</v>
      </c>
      <c r="C16" t="s">
        <v>20</v>
      </c>
    </row>
    <row r="17" spans="1:3">
      <c r="A17" s="15"/>
    </row>
    <row r="18" spans="1:3">
      <c r="A18" s="15"/>
      <c r="B18" t="s">
        <v>16</v>
      </c>
      <c r="C18" t="s">
        <v>17</v>
      </c>
    </row>
    <row r="19" spans="1:3">
      <c r="A19" s="15">
        <v>43527</v>
      </c>
      <c r="B19" t="s">
        <v>19</v>
      </c>
      <c r="C19" t="s">
        <v>18</v>
      </c>
    </row>
    <row r="20" spans="1:3">
      <c r="A20" s="15"/>
    </row>
    <row r="21" spans="1:3">
      <c r="A21" s="15"/>
    </row>
    <row r="22" spans="1:3">
      <c r="A22" s="15"/>
    </row>
    <row r="23" spans="1:3">
      <c r="A23" s="15"/>
    </row>
    <row r="24" spans="1:3">
      <c r="A24" s="15"/>
    </row>
    <row r="25" spans="1:3">
      <c r="A25" s="15"/>
    </row>
    <row r="26" spans="1:3">
      <c r="A26" s="15"/>
    </row>
    <row r="27" spans="1:3">
      <c r="A27" s="15"/>
    </row>
    <row r="28" spans="1:3">
      <c r="A28" s="15"/>
    </row>
    <row r="29" spans="1:3">
      <c r="A29" s="15"/>
    </row>
    <row r="30" spans="1:3">
      <c r="A30" s="15"/>
    </row>
    <row r="31" spans="1:3">
      <c r="A31" s="15"/>
    </row>
    <row r="32" spans="1:3">
      <c r="A32" s="15"/>
    </row>
    <row r="33" spans="1:1">
      <c r="A33" s="15"/>
    </row>
    <row r="34" spans="1:1">
      <c r="A34" s="15"/>
    </row>
    <row r="35" spans="1:1">
      <c r="A35" s="15"/>
    </row>
    <row r="36" spans="1:1">
      <c r="A36" s="15"/>
    </row>
    <row r="37" spans="1:1">
      <c r="A37" s="15"/>
    </row>
    <row r="38" spans="1:1">
      <c r="A38" s="15"/>
    </row>
    <row r="39" spans="1:1">
      <c r="A39" s="15"/>
    </row>
    <row r="40" spans="1:1">
      <c r="A40" s="4"/>
    </row>
    <row r="46" spans="1:1">
      <c r="A46" s="4"/>
    </row>
    <row r="49" spans="1:1">
      <c r="A49" s="4"/>
    </row>
    <row r="52" spans="1:1">
      <c r="A52" s="4"/>
    </row>
    <row r="55" spans="1:1">
      <c r="A55" s="4"/>
    </row>
    <row r="58" spans="1:1">
      <c r="A58" s="4"/>
    </row>
    <row r="61" spans="1:1">
      <c r="A61" s="4"/>
    </row>
    <row r="64" spans="1:1">
      <c r="A64" s="4"/>
    </row>
    <row r="67" spans="1:1">
      <c r="A67" s="4"/>
    </row>
    <row r="74" spans="1:1">
      <c r="A74" s="4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SCHEDULE">
                <anchor moveWithCells="1" sizeWithCells="1">
                  <from>
                    <xdr:col>2</xdr:col>
                    <xdr:colOff>292100</xdr:colOff>
                    <xdr:row>0</xdr:row>
                    <xdr:rowOff>114300</xdr:rowOff>
                  </from>
                  <to>
                    <xdr:col>3</xdr:col>
                    <xdr:colOff>901700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CECD4-5E18-1C49-9901-6D982942E480}">
  <sheetPr codeName="Sheet3"/>
  <dimension ref="A1:D12"/>
  <sheetViews>
    <sheetView tabSelected="1" zoomScale="150" zoomScaleNormal="150" workbookViewId="0">
      <pane ySplit="6" topLeftCell="A7" activePane="bottomLeft" state="frozen"/>
      <selection pane="bottomLeft" activeCell="C9" sqref="C9"/>
    </sheetView>
  </sheetViews>
  <sheetFormatPr baseColWidth="10" defaultColWidth="28.6640625" defaultRowHeight="15"/>
  <cols>
    <col min="1" max="1" width="24.33203125" style="23" bestFit="1" customWidth="1"/>
    <col min="2" max="2" width="26.83203125" style="23" customWidth="1"/>
    <col min="3" max="4" width="10" style="23" customWidth="1"/>
    <col min="5" max="16384" width="28.6640625" style="23"/>
  </cols>
  <sheetData>
    <row r="1" spans="1:4" ht="31">
      <c r="A1" s="22" t="s">
        <v>3</v>
      </c>
      <c r="B1" s="22"/>
    </row>
    <row r="2" spans="1:4" ht="24" customHeight="1">
      <c r="A2" s="22"/>
      <c r="B2" s="22"/>
    </row>
    <row r="3" spans="1:4" ht="22" customHeight="1">
      <c r="A3" s="22"/>
      <c r="B3" s="22"/>
    </row>
    <row r="4" spans="1:4" ht="24">
      <c r="A4" s="24" t="s">
        <v>8</v>
      </c>
      <c r="C4" s="30" t="s">
        <v>16</v>
      </c>
      <c r="D4" s="30" t="s">
        <v>17</v>
      </c>
    </row>
    <row r="5" spans="1:4" ht="25">
      <c r="A5" s="25" t="s">
        <v>9</v>
      </c>
      <c r="B5" s="26"/>
      <c r="C5" s="27">
        <v>1</v>
      </c>
      <c r="D5" s="27">
        <v>1</v>
      </c>
    </row>
    <row r="6" spans="1:4" ht="24">
      <c r="A6" s="26" t="s">
        <v>7</v>
      </c>
      <c r="B6" s="26"/>
    </row>
    <row r="7" spans="1:4" ht="24">
      <c r="B7" s="28" t="str">
        <f>README!F9</f>
        <v>Template User #3</v>
      </c>
      <c r="C7" s="27">
        <v>1</v>
      </c>
      <c r="D7" s="27">
        <v>0</v>
      </c>
    </row>
    <row r="8" spans="1:4" ht="24">
      <c r="B8" s="28" t="str">
        <f>README!F10</f>
        <v>Template User #2</v>
      </c>
      <c r="C8" s="27">
        <v>0</v>
      </c>
      <c r="D8" s="27">
        <v>1</v>
      </c>
    </row>
    <row r="9" spans="1:4" ht="24">
      <c r="B9" s="28" t="str">
        <f>README!F11</f>
        <v>Template User #1</v>
      </c>
      <c r="C9" s="27">
        <v>1</v>
      </c>
      <c r="D9" s="27">
        <v>1</v>
      </c>
    </row>
    <row r="11" spans="1:4" ht="24">
      <c r="C11" s="29"/>
      <c r="D11" s="29"/>
    </row>
    <row r="12" spans="1:4" ht="24">
      <c r="B12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ADD_ROLE">
                <anchor moveWithCells="1" sizeWithCells="1">
                  <from>
                    <xdr:col>1</xdr:col>
                    <xdr:colOff>0</xdr:colOff>
                    <xdr:row>1</xdr:row>
                    <xdr:rowOff>393700</xdr:rowOff>
                  </from>
                  <to>
                    <xdr:col>1</xdr:col>
                    <xdr:colOff>914400</xdr:colOff>
                    <xdr:row>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REMOVE_ROLE">
                <anchor moveWithCells="1" sizeWithCells="1">
                  <from>
                    <xdr:col>1</xdr:col>
                    <xdr:colOff>1054100</xdr:colOff>
                    <xdr:row>2</xdr:row>
                    <xdr:rowOff>0</xdr:rowOff>
                  </from>
                  <to>
                    <xdr:col>1</xdr:col>
                    <xdr:colOff>1968500</xdr:colOff>
                    <xdr:row>2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84D7E-FA2E-425B-9D23-73E26D46F88F}">
  <sheetPr codeName="Sheet10">
    <tabColor theme="7" tint="0.39997558519241921"/>
  </sheetPr>
  <dimension ref="A1:C3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ColWidth="8.83203125" defaultRowHeight="15"/>
  <cols>
    <col min="1" max="1" width="29.5" bestFit="1" customWidth="1"/>
    <col min="2" max="3" width="17.1640625" style="15" bestFit="1" customWidth="1"/>
  </cols>
  <sheetData>
    <row r="1" spans="1:3" ht="29">
      <c r="A1" s="3" t="s">
        <v>8</v>
      </c>
      <c r="B1" s="14" t="str">
        <f>CAPABILITIES!C$4</f>
        <v>Job #1</v>
      </c>
      <c r="C1" s="14" t="str">
        <f>CAPABILITIES!D$4</f>
        <v>Job #2</v>
      </c>
    </row>
    <row r="2" spans="1:3" ht="26">
      <c r="A2" s="13" t="str">
        <f>README!F9</f>
        <v>Template User #3</v>
      </c>
      <c r="B2" s="33">
        <v>43555</v>
      </c>
      <c r="C2" s="33"/>
    </row>
    <row r="3" spans="1:3" ht="26">
      <c r="A3" s="13" t="str">
        <f>README!F10</f>
        <v>Template User #2</v>
      </c>
      <c r="B3" s="33"/>
      <c r="C3" s="33">
        <v>43562</v>
      </c>
    </row>
    <row r="4" spans="1:3" ht="26">
      <c r="A4" s="13" t="str">
        <f>README!F11</f>
        <v>Template User #1</v>
      </c>
      <c r="B4" s="33">
        <v>43562</v>
      </c>
      <c r="C4" s="33">
        <v>43555</v>
      </c>
    </row>
    <row r="8" spans="1:3">
      <c r="A8" s="4"/>
    </row>
    <row r="10" spans="1:3">
      <c r="B10"/>
      <c r="C10"/>
    </row>
    <row r="11" spans="1:3">
      <c r="B11"/>
      <c r="C11"/>
    </row>
    <row r="32" spans="2:3">
      <c r="B32"/>
      <c r="C32"/>
    </row>
    <row r="33" spans="2:3">
      <c r="B33"/>
      <c r="C33"/>
    </row>
    <row r="34" spans="2:3">
      <c r="B34"/>
      <c r="C34"/>
    </row>
    <row r="35" spans="2:3">
      <c r="B35"/>
      <c r="C35"/>
    </row>
    <row r="36" spans="2:3">
      <c r="B36"/>
      <c r="C36"/>
    </row>
    <row r="37" spans="2:3">
      <c r="B37"/>
      <c r="C37"/>
    </row>
    <row r="38" spans="2:3">
      <c r="B38"/>
      <c r="C38"/>
    </row>
    <row r="39" spans="2:3">
      <c r="B39"/>
      <c r="C39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B13FC-3670-4749-8C74-80BAD67ABA80}">
  <sheetPr codeName="Sheet5"/>
  <dimension ref="A1:H25"/>
  <sheetViews>
    <sheetView zoomScale="180" workbookViewId="0">
      <selection activeCell="D10" sqref="D10"/>
    </sheetView>
  </sheetViews>
  <sheetFormatPr baseColWidth="10" defaultRowHeight="15"/>
  <cols>
    <col min="1" max="1" width="19.83203125" customWidth="1"/>
  </cols>
  <sheetData>
    <row r="1" spans="1:8" ht="31">
      <c r="A1" s="22" t="s">
        <v>22</v>
      </c>
    </row>
    <row r="3" spans="1:8" ht="58" customHeight="1">
      <c r="H3" t="s">
        <v>23</v>
      </c>
    </row>
    <row r="4" spans="1:8" ht="21">
      <c r="A4" s="35" t="s">
        <v>24</v>
      </c>
      <c r="B4" s="35" t="s">
        <v>2</v>
      </c>
    </row>
    <row r="5" spans="1:8">
      <c r="A5" t="s">
        <v>20</v>
      </c>
      <c r="B5" s="15">
        <v>40179</v>
      </c>
    </row>
    <row r="6" spans="1:8">
      <c r="A6" t="s">
        <v>18</v>
      </c>
      <c r="B6" s="15">
        <v>43569</v>
      </c>
    </row>
    <row r="7" spans="1:8">
      <c r="A7" t="s">
        <v>18</v>
      </c>
      <c r="B7" s="15">
        <v>72686</v>
      </c>
    </row>
    <row r="8" spans="1:8">
      <c r="B8" s="15"/>
    </row>
    <row r="9" spans="1:8">
      <c r="B9" s="15"/>
    </row>
    <row r="10" spans="1:8">
      <c r="B10" s="15"/>
    </row>
    <row r="11" spans="1:8">
      <c r="B11" s="15"/>
    </row>
    <row r="12" spans="1:8">
      <c r="B12" s="15"/>
    </row>
    <row r="13" spans="1:8">
      <c r="B13" s="15"/>
    </row>
    <row r="14" spans="1:8">
      <c r="B14" s="15"/>
    </row>
    <row r="15" spans="1:8">
      <c r="B15" s="15"/>
    </row>
    <row r="16" spans="1:8">
      <c r="B16" s="15"/>
    </row>
    <row r="17" spans="2:5">
      <c r="B17" s="15"/>
    </row>
    <row r="18" spans="2:5">
      <c r="B18" s="15"/>
    </row>
    <row r="19" spans="2:5">
      <c r="B19" s="15"/>
    </row>
    <row r="21" spans="2:5" ht="16">
      <c r="E21" s="36"/>
    </row>
    <row r="22" spans="2:5" ht="16">
      <c r="E22" s="36"/>
    </row>
    <row r="23" spans="2:5" ht="16">
      <c r="E23" s="36"/>
    </row>
    <row r="24" spans="2:5" ht="16">
      <c r="E24" s="36"/>
    </row>
    <row r="25" spans="2:5" ht="16">
      <c r="E25" s="36"/>
    </row>
  </sheetData>
  <sortState xmlns:xlrd2="http://schemas.microsoft.com/office/spreadsheetml/2017/richdata2" ref="A5:B7">
    <sortCondition ref="B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EMOVE_OLD_UNAVAILABILITY_RECORDS">
                <anchor moveWithCells="1" sizeWithCells="1">
                  <from>
                    <xdr:col>1</xdr:col>
                    <xdr:colOff>800100</xdr:colOff>
                    <xdr:row>2</xdr:row>
                    <xdr:rowOff>177800</xdr:rowOff>
                  </from>
                  <to>
                    <xdr:col>3</xdr:col>
                    <xdr:colOff>673100</xdr:colOff>
                    <xdr:row>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DD_UNAVAILABILITY_RECORD">
                <anchor moveWithCells="1" sizeWithCells="1">
                  <from>
                    <xdr:col>0</xdr:col>
                    <xdr:colOff>0</xdr:colOff>
                    <xdr:row>2</xdr:row>
                    <xdr:rowOff>165100</xdr:rowOff>
                  </from>
                  <to>
                    <xdr:col>1</xdr:col>
                    <xdr:colOff>12700</xdr:colOff>
                    <xdr:row>2</xdr:row>
                    <xdr:rowOff>546100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47B86A4E-C80E-C444-A09B-A9760BADA266}">
            <xm:f>IF(AND($B4 &lt; '/Users/eginwong/Google Drive/holy-family/schedule/[altar-servers-scheduler-PROD-base.xlsm]README'!#REF!, NOT(ISBLANK($B4))), TRUE, FALSE)</xm:f>
            <x14:dxf>
              <fill>
                <patternFill>
                  <bgColor rgb="FFFFC7CE"/>
                </patternFill>
              </fill>
            </x14:dxf>
          </x14:cfRule>
          <xm:sqref>B4:B1048576</xm:sqref>
        </x14:conditionalFormatting>
        <x14:conditionalFormatting xmlns:xm="http://schemas.microsoft.com/office/excel/2006/main">
          <x14:cfRule type="expression" priority="2" id="{B7A6CEA0-BD2B-AD4A-B6BE-087B66360FAC}">
            <xm:f>IF(AND($B17 &lt; '/Users/eginwong/Google Drive/holy-family/schedule/[altar-servers-scheduler-PROD-base.xlsm]README'!#REF!, NOT(ISBLANK($B17))),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</xm:sqref>
        </x14:conditionalFormatting>
        <x14:conditionalFormatting xmlns:xm="http://schemas.microsoft.com/office/excel/2006/main">
          <x14:cfRule type="expression" priority="1" id="{0C6A0E84-1FDE-8D47-B9CF-59D9489376FF}">
            <xm:f>IF(AND($B5 &lt; README!$J$8, NOT(ISBLANK($B5))),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B5:B1048576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DF11B-C573-4A61-8D79-21567F72C36D}">
  <sheetPr codeName="Sheet4"/>
  <dimension ref="A1:H16"/>
  <sheetViews>
    <sheetView zoomScale="118" workbookViewId="0">
      <selection activeCell="B2" sqref="B2"/>
    </sheetView>
  </sheetViews>
  <sheetFormatPr baseColWidth="10" defaultColWidth="8.83203125" defaultRowHeight="15"/>
  <cols>
    <col min="1" max="1" width="12.1640625" bestFit="1" customWidth="1"/>
    <col min="2" max="3" width="9.1640625" bestFit="1" customWidth="1"/>
    <col min="4" max="4" width="5.33203125" bestFit="1" customWidth="1"/>
    <col min="5" max="5" width="16.5" bestFit="1" customWidth="1"/>
    <col min="6" max="7" width="8" bestFit="1" customWidth="1"/>
    <col min="8" max="8" width="12.83203125" bestFit="1" customWidth="1"/>
  </cols>
  <sheetData>
    <row r="1" spans="1:8" ht="26">
      <c r="A1" s="1"/>
      <c r="B1" s="17"/>
      <c r="C1" s="17"/>
    </row>
    <row r="2" spans="1:8" ht="26">
      <c r="B2" s="17">
        <f>SUMPRODUCT($B$5:$C$7,$F$5:$G$7)</f>
        <v>14</v>
      </c>
      <c r="C2" s="17"/>
    </row>
    <row r="3" spans="1:8" ht="26">
      <c r="A3" s="12"/>
      <c r="B3" s="17"/>
      <c r="C3" s="17"/>
      <c r="D3" s="17"/>
    </row>
    <row r="4" spans="1:8" ht="26">
      <c r="A4" s="7"/>
      <c r="B4" s="9" t="str">
        <f>CAPABILITIES!C$4</f>
        <v>Job #1</v>
      </c>
      <c r="C4" s="9" t="str">
        <f>CAPABILITIES!D$4</f>
        <v>Job #2</v>
      </c>
      <c r="D4" s="17"/>
      <c r="E4" s="10"/>
      <c r="F4" s="9" t="str">
        <f>CAPABILITIES!C$4</f>
        <v>Job #1</v>
      </c>
      <c r="G4" s="9" t="str">
        <f>CAPABILITIES!D$4</f>
        <v>Job #2</v>
      </c>
      <c r="H4" s="10" t="s">
        <v>0</v>
      </c>
    </row>
    <row r="5" spans="1:8" ht="26">
      <c r="A5" t="str">
        <f>README!F9</f>
        <v>Template User #3</v>
      </c>
      <c r="B5" s="8">
        <f>IF(AND(README!$G9=TRUE,CAPABILITIES!C7= 1), README!$J$8-USERS!B2, -100000000)</f>
        <v>14</v>
      </c>
      <c r="C5" s="8">
        <f>IF(AND(README!$G9=TRUE,CAPABILITIES!D7= 1), README!$J$8-USERS!C2, -100000000)</f>
        <v>-100000000</v>
      </c>
      <c r="D5" s="17"/>
      <c r="E5" s="10" t="str">
        <f>README!F9</f>
        <v>Template User #3</v>
      </c>
      <c r="F5" s="10">
        <v>0</v>
      </c>
      <c r="G5" s="10">
        <v>0</v>
      </c>
      <c r="H5" s="10">
        <f>SUM(F5:G5)</f>
        <v>0</v>
      </c>
    </row>
    <row r="6" spans="1:8" ht="26">
      <c r="A6" t="str">
        <f>README!F10</f>
        <v>Template User #2</v>
      </c>
      <c r="B6" s="8">
        <f>IF(AND(README!$G10=TRUE,CAPABILITIES!C8= 1), README!$J$8-USERS!B3, -100000000)</f>
        <v>-100000000</v>
      </c>
      <c r="C6" s="8">
        <f>IF(AND(README!$G10=TRUE,CAPABILITIES!D8= 1), README!$J$8-USERS!C3, -100000000)</f>
        <v>7</v>
      </c>
      <c r="D6" s="17"/>
      <c r="E6" s="10" t="str">
        <f>README!F10</f>
        <v>Template User #2</v>
      </c>
      <c r="F6" s="10">
        <v>0</v>
      </c>
      <c r="G6" s="10">
        <v>1</v>
      </c>
      <c r="H6" s="10">
        <f>SUM(F6:G6)</f>
        <v>1</v>
      </c>
    </row>
    <row r="7" spans="1:8" ht="26">
      <c r="A7" t="str">
        <f>README!F11</f>
        <v>Template User #1</v>
      </c>
      <c r="B7" s="8">
        <f>IF(AND(README!$G11=TRUE,CAPABILITIES!C9= 1), README!$J$8-USERS!B4, -100000000)</f>
        <v>7</v>
      </c>
      <c r="C7" s="8">
        <f>IF(AND(README!$G11=TRUE,CAPABILITIES!D9= 1), README!$J$8-USERS!C4, -100000000)</f>
        <v>14</v>
      </c>
      <c r="D7" s="17"/>
      <c r="E7" s="10" t="str">
        <f>README!F11</f>
        <v>Template User #1</v>
      </c>
      <c r="F7" s="10">
        <v>1</v>
      </c>
      <c r="G7" s="10">
        <v>0</v>
      </c>
      <c r="H7" s="10">
        <f>SUM(F7:G7)</f>
        <v>1</v>
      </c>
    </row>
    <row r="8" spans="1:8" ht="26">
      <c r="A8" s="10"/>
      <c r="B8" s="17"/>
      <c r="C8" s="17"/>
      <c r="D8" s="17"/>
    </row>
    <row r="9" spans="1:8" ht="26">
      <c r="B9" s="17"/>
      <c r="C9" s="17"/>
      <c r="D9" s="17"/>
      <c r="E9" t="s">
        <v>5</v>
      </c>
      <c r="F9">
        <f>CAPABILITIES!C$5</f>
        <v>1</v>
      </c>
      <c r="G9">
        <f>CAPABILITIES!D$5</f>
        <v>1</v>
      </c>
    </row>
    <row r="10" spans="1:8" ht="26">
      <c r="B10" s="17"/>
      <c r="C10" s="17"/>
      <c r="D10" s="17"/>
      <c r="E10" t="s">
        <v>6</v>
      </c>
      <c r="F10">
        <f>SUM(F5:F7)</f>
        <v>1</v>
      </c>
      <c r="G10">
        <f>SUM(G5:G7)</f>
        <v>1</v>
      </c>
    </row>
    <row r="11" spans="1:8" ht="26">
      <c r="D11" s="17"/>
    </row>
    <row r="12" spans="1:8" ht="26">
      <c r="D12" s="6"/>
      <c r="E12" s="11"/>
    </row>
    <row r="13" spans="1:8" ht="26">
      <c r="D13" s="6"/>
      <c r="E13" s="11"/>
    </row>
    <row r="14" spans="1:8" ht="26">
      <c r="D14" s="6"/>
      <c r="E14" s="11"/>
    </row>
    <row r="16" spans="1:8">
      <c r="A16" s="10"/>
      <c r="B16" s="10"/>
      <c r="C16" s="10"/>
      <c r="D16" s="10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README</vt:lpstr>
      <vt:lpstr>SCHEDULE</vt:lpstr>
      <vt:lpstr>CAPABILITIES</vt:lpstr>
      <vt:lpstr>USERS</vt:lpstr>
      <vt:lpstr>UNAVAILABILITY</vt:lpstr>
      <vt:lpstr>ENGINE</vt:lpstr>
      <vt:lpstr>ACTUAL</vt:lpstr>
      <vt:lpstr>EXPECTED</vt:lpstr>
      <vt:lpstr>FREQUENCY</vt:lpstr>
      <vt:lpstr>NEXT_DATE</vt:lpstr>
      <vt:lpstr>OBJECTIVE</vt:lpstr>
      <vt:lpstr>ROLE_TOTALS</vt:lpstr>
      <vt:lpstr>SCHEDULE_DATE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T. Wong</dc:creator>
  <cp:lastModifiedBy>Eric T. Wong</cp:lastModifiedBy>
  <dcterms:created xsi:type="dcterms:W3CDTF">2018-12-01T19:51:13Z</dcterms:created>
  <dcterms:modified xsi:type="dcterms:W3CDTF">2019-03-17T00:41:01Z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eric.t.wong@avanade.com</vt:lpwstr>
  </property>
  <property fmtid="{D5CDD505-2E9C-101B-9397-08002B2CF9AE}" pid="5" name="MSIP_Label_236020b0-6d69-48c1-9bb5-c586c1062b70_SetDate">
    <vt:lpwstr>2019-01-23T19:36:42.7555111Z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eric.t.wong@avanade.com</vt:lpwstr>
  </property>
  <property fmtid="{D5CDD505-2E9C-101B-9397-08002B2CF9AE}" pid="12" name="MSIP_Label_5fae8262-b78e-4366-8929-a5d6aac95320_SetDate">
    <vt:lpwstr>2019-01-23T19:36:42.7555111Z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</Properties>
</file>